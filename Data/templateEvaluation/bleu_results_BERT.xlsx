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vbremm005_myuct_ac_za/Documents/Documents/Honours/Project Final/Data/TemplateEvaluation/"/>
    </mc:Choice>
  </mc:AlternateContent>
  <xr:revisionPtr revIDLastSave="51" documentId="11_4A41E9C5D06CB40E62355476585DCE3A8747C99B" xr6:coauthVersionLast="47" xr6:coauthVersionMax="47" xr10:uidLastSave="{5C0E60BB-1E12-4BDF-AE97-61033CDFA3FD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E5" i="2"/>
  <c r="E4" i="2"/>
  <c r="E3" i="2"/>
  <c r="E2" i="2"/>
  <c r="D6" i="2"/>
  <c r="D5" i="2"/>
  <c r="D4" i="2"/>
  <c r="D3" i="2"/>
  <c r="D2" i="2"/>
  <c r="C5" i="2"/>
  <c r="C6" i="2"/>
  <c r="C4" i="2"/>
  <c r="C3" i="2"/>
  <c r="C2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<sst xmlns="http://schemas.openxmlformats.org/spreadsheetml/2006/main" count="70" uniqueCount="58">
  <si>
    <t>RQ</t>
  </si>
  <si>
    <t>Best Template</t>
  </si>
  <si>
    <t>BLEU-1</t>
  </si>
  <si>
    <t>BLEU-2</t>
  </si>
  <si>
    <t>BLEU-3</t>
  </si>
  <si>
    <t>BLEU-4</t>
  </si>
  <si>
    <t>Cumulative BLEU</t>
  </si>
  <si>
    <t>Do EC1 and EC2 verbs PC1 EC3 in EC4 for EC5 in otherwise identical PC2 ?</t>
  </si>
  <si>
    <t>Do EC1 PC1 EC2 for EC3 ?, and Can EC4 PC2 EC5 in EC6 ?</t>
  </si>
  <si>
    <t>Can EC1 PC1 similarly on PC2 EC2 in EC3 from EC4 ?</t>
  </si>
  <si>
    <t>Can EC1 PC1 similarly on PC2 EC2 across EC3 ?</t>
  </si>
  <si>
    <t>Do EC1 present EC2 of EC3 ?</t>
  </si>
  <si>
    <t>Is EC1 then PC1 EC2 of EC3 ?</t>
  </si>
  <si>
    <t>EC1 study EC2 in EC3 PC1 EC4 ; for EC5 , how do EC6 PC2 after EC7 PC3 EC8 ?</t>
  </si>
  <si>
    <t>How does EC1 of EC2 in EC3 PC1 EC4 ?</t>
  </si>
  <si>
    <t>How does EC1 PC1 with EC2 or EC3 for EC4 ?</t>
  </si>
  <si>
    <t>Does EC1 commonly PC1 EC2 for EC3 PC2 with EC4 of EC5 ?</t>
  </si>
  <si>
    <t>Could PC1 metric like EC1 reliably PC2 EC2 in EC3 ?</t>
  </si>
  <si>
    <t>How can we PC1 EC1 in EC2 ?</t>
  </si>
  <si>
    <t>How PC1 are EC1 and EC2 ?</t>
  </si>
  <si>
    <t>How EC1 and EC2 ?</t>
  </si>
  <si>
    <t>Can EC1 PC1 EC2 and EC3 ?</t>
  </si>
  <si>
    <t>Does EC1 effectively PC1 EC2 and EC3 ?</t>
  </si>
  <si>
    <t>How does EC1 PC1 on EC2 PC2 with EC3 ?</t>
  </si>
  <si>
    <t>Can EC1 PC1 EC2 PC2 with EC3 ?</t>
  </si>
  <si>
    <t>What EC1 does EC2 PC1 on EC3 ?</t>
  </si>
  <si>
    <t>Are EC1 PC1 on EC2 robust to EC3 ?</t>
  </si>
  <si>
    <t>Can EC1 of EC2 normally PC1 to EC3 be instead PC2 in EC4 of EC5 ?</t>
  </si>
  <si>
    <t>Does PC1 EC1 PC2 EC2 in EC3 of EC4 ?</t>
  </si>
  <si>
    <t>Are PC1 EC1 PC2 on EC2 more prone to EC3 than EC4 PC3 EC5 ?</t>
  </si>
  <si>
    <t>EC1 from EC2 ?</t>
  </si>
  <si>
    <t>How EC1 ?</t>
  </si>
  <si>
    <t>Why EC1 like EC2 and EC3 can PC1 EC4 ?</t>
  </si>
  <si>
    <t>How do PC1 EC1 and EC2 jointly PC2 EC3 ?</t>
  </si>
  <si>
    <t>What EC1 of EC2 EC3 PC1 when EC4 is PC2 to PC3 , across EC5 of EC6 ?</t>
  </si>
  <si>
    <t>In EC1 of EC2 , can further pre-training PC1 EC3 PC2 EC4 of EC5 ?</t>
  </si>
  <si>
    <t>What EC1 does EC2 PC1 on EC3 for EC4 ?</t>
  </si>
  <si>
    <t>How to further PC1 EC1 of EC2 ?</t>
  </si>
  <si>
    <t>How do EC1 PC1 EC2 of EC3 ?</t>
  </si>
  <si>
    <t>How can we PC1 EC1 about EC2 that EC3 PC2 from EC4 and EC5 ?</t>
  </si>
  <si>
    <t>How can we PC1 EC1 PC2 EC2 of EC3 and EC4 for EC5 ?</t>
  </si>
  <si>
    <t>Are EC1 similar PC1 EC2 in EC3 ?</t>
  </si>
  <si>
    <t>Can we simultaneously PC1 small EC1 and EC2 PC2 EC3 ?</t>
  </si>
  <si>
    <t>Can we significantly PC1 EC1 PC2 EC2 PC3 EC3 ?</t>
  </si>
  <si>
    <t>Does EC1 PC1 with EC2 on EC3 ?</t>
  </si>
  <si>
    <t>To what extent do EC1 PC1 EC2 PC2 EC3 ?</t>
  </si>
  <si>
    <t>Can EC1 PC1 to EC2 ?</t>
  </si>
  <si>
    <t>How does EC1 PC1 to EC2 ?</t>
  </si>
  <si>
    <t>Do EC1 PC1 EC2 on EC3 ?</t>
  </si>
  <si>
    <t>Do EC1 PC1 EC2 ?</t>
  </si>
  <si>
    <t>Does EC1 of EC2 across EC3 PC1 with EC4 of EC5 ?</t>
  </si>
  <si>
    <t>Does EC1 PC1 EC2 ?</t>
  </si>
  <si>
    <t>Average</t>
  </si>
  <si>
    <t>Median</t>
  </si>
  <si>
    <t>Min</t>
  </si>
  <si>
    <t>Max</t>
  </si>
  <si>
    <t>Cumulative</t>
  </si>
  <si>
    <t>Can EC1 PC1 on EC2 generalize well PC2 EC3 PC3 common sense specific to EC4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</si>
</sst>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8" workbookViewId="0">
      <selection activeCell="B12" sqref="B12"/>
    </sheetView>
  </sheetViews>
  <sheetFormatPr defaultRowHeight="14.5" x14ac:dyDescent="0.35"/>
  <cols>
    <col min="1" max="1" width="72.36328125" customWidth="1"/>
    <col min="2" max="2" width="57.453125" customWidth="1"/>
    <col min="7" max="7" width="14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0.75</v>
      </c>
      <c r="D2">
        <v>0.54769999999999996</v>
      </c>
      <c r="E2">
        <v>0.40429999999999999</v>
      </c>
      <c r="F2">
        <v>0.26519999999999999</v>
      </c>
      <c r="G2">
        <v>0.26519999999999999</v>
      </c>
    </row>
    <row r="3" spans="1:7" x14ac:dyDescent="0.35">
      <c r="A3" t="s">
        <v>9</v>
      </c>
      <c r="B3" t="s">
        <v>10</v>
      </c>
      <c r="C3">
        <v>0.75</v>
      </c>
      <c r="D3">
        <v>0.69079999999999997</v>
      </c>
      <c r="E3">
        <v>0.62319999999999998</v>
      </c>
      <c r="F3">
        <v>0.57069999999999999</v>
      </c>
      <c r="G3">
        <v>0.57069999999999999</v>
      </c>
    </row>
    <row r="4" spans="1:7" x14ac:dyDescent="0.35">
      <c r="A4" t="s">
        <v>11</v>
      </c>
      <c r="B4" t="s">
        <v>12</v>
      </c>
      <c r="C4">
        <v>0.61919999999999997</v>
      </c>
      <c r="D4">
        <v>0.5181</v>
      </c>
      <c r="E4">
        <v>0.45610000000000001</v>
      </c>
      <c r="F4">
        <v>0.37680000000000002</v>
      </c>
      <c r="G4">
        <v>0.37680000000000002</v>
      </c>
    </row>
    <row r="5" spans="1:7" x14ac:dyDescent="0.35">
      <c r="A5" t="s">
        <v>13</v>
      </c>
      <c r="B5" t="s">
        <v>14</v>
      </c>
      <c r="C5">
        <v>0.35</v>
      </c>
      <c r="D5">
        <v>0.30349999999999999</v>
      </c>
      <c r="E5">
        <v>0.27710000000000001</v>
      </c>
      <c r="F5">
        <v>0.2452</v>
      </c>
      <c r="G5">
        <v>0.2452</v>
      </c>
    </row>
    <row r="6" spans="1:7" x14ac:dyDescent="0.35">
      <c r="A6" t="s">
        <v>15</v>
      </c>
      <c r="B6" t="s">
        <v>16</v>
      </c>
      <c r="C6">
        <v>0.60640000000000005</v>
      </c>
      <c r="D6">
        <v>0.55079999999999996</v>
      </c>
      <c r="E6">
        <v>0.44130000000000003</v>
      </c>
      <c r="F6">
        <v>0.30620000000000003</v>
      </c>
      <c r="G6">
        <v>0.30620000000000003</v>
      </c>
    </row>
    <row r="7" spans="1:7" x14ac:dyDescent="0.35">
      <c r="A7" t="s">
        <v>11</v>
      </c>
      <c r="B7" t="s">
        <v>12</v>
      </c>
      <c r="C7">
        <v>0.61919999999999997</v>
      </c>
      <c r="D7">
        <v>0.5181</v>
      </c>
      <c r="E7">
        <v>0.45610000000000001</v>
      </c>
      <c r="F7">
        <v>0.37680000000000002</v>
      </c>
      <c r="G7">
        <v>0.37680000000000002</v>
      </c>
    </row>
    <row r="8" spans="1:7" x14ac:dyDescent="0.35">
      <c r="A8" t="s">
        <v>17</v>
      </c>
      <c r="B8" t="s">
        <v>18</v>
      </c>
      <c r="C8">
        <v>0.45450000000000002</v>
      </c>
      <c r="D8">
        <v>0.4264</v>
      </c>
      <c r="E8">
        <v>0.39650000000000002</v>
      </c>
      <c r="F8">
        <v>0.3508</v>
      </c>
      <c r="G8">
        <v>0.3508</v>
      </c>
    </row>
    <row r="9" spans="1:7" x14ac:dyDescent="0.35">
      <c r="A9" t="s">
        <v>19</v>
      </c>
      <c r="B9" t="s">
        <v>20</v>
      </c>
      <c r="C9">
        <v>0.71430000000000005</v>
      </c>
      <c r="D9">
        <v>0.59760000000000002</v>
      </c>
      <c r="E9">
        <v>0.5262</v>
      </c>
      <c r="F9">
        <v>0.43469999999999998</v>
      </c>
      <c r="G9">
        <v>0.43469999999999998</v>
      </c>
    </row>
    <row r="10" spans="1:7" x14ac:dyDescent="0.35">
      <c r="A10" t="s">
        <v>21</v>
      </c>
      <c r="B10" t="s">
        <v>22</v>
      </c>
      <c r="C10">
        <v>0.74299999999999999</v>
      </c>
      <c r="D10">
        <v>0.65529999999999999</v>
      </c>
      <c r="E10">
        <v>0.6089</v>
      </c>
      <c r="F10">
        <v>0.55779999999999996</v>
      </c>
      <c r="G10">
        <v>0.55779999999999996</v>
      </c>
    </row>
    <row r="11" spans="1:7" x14ac:dyDescent="0.35">
      <c r="A11" t="s">
        <v>23</v>
      </c>
      <c r="B11" t="s">
        <v>24</v>
      </c>
      <c r="C11">
        <v>0.7</v>
      </c>
      <c r="D11">
        <v>0.62360000000000004</v>
      </c>
      <c r="E11">
        <v>0.52980000000000005</v>
      </c>
      <c r="F11">
        <v>0.45179999999999998</v>
      </c>
      <c r="G11">
        <v>0.45179999999999998</v>
      </c>
    </row>
    <row r="12" spans="1:7" x14ac:dyDescent="0.35">
      <c r="A12" t="s">
        <v>25</v>
      </c>
      <c r="B12" t="s">
        <v>26</v>
      </c>
      <c r="C12">
        <v>0.66190000000000004</v>
      </c>
      <c r="D12">
        <v>0.57769999999999999</v>
      </c>
      <c r="E12">
        <v>0.46429999999999999</v>
      </c>
      <c r="F12">
        <v>0.36280000000000001</v>
      </c>
      <c r="G12">
        <v>0.36280000000000001</v>
      </c>
    </row>
    <row r="13" spans="1:7" x14ac:dyDescent="0.35">
      <c r="A13" t="s">
        <v>27</v>
      </c>
      <c r="B13" t="s">
        <v>28</v>
      </c>
      <c r="C13">
        <v>0.5625</v>
      </c>
      <c r="D13">
        <v>0.38729999999999998</v>
      </c>
      <c r="E13">
        <v>0.3216</v>
      </c>
      <c r="F13">
        <v>0.26519999999999999</v>
      </c>
      <c r="G13">
        <v>0.26519999999999999</v>
      </c>
    </row>
    <row r="14" spans="1:7" x14ac:dyDescent="0.35">
      <c r="A14" t="s">
        <v>57</v>
      </c>
      <c r="B14" t="s">
        <v>29</v>
      </c>
      <c r="C14">
        <v>0.66669999999999996</v>
      </c>
      <c r="D14">
        <v>0.57740000000000002</v>
      </c>
      <c r="E14">
        <v>0.4289</v>
      </c>
      <c r="F14">
        <v>0.28299999999999997</v>
      </c>
      <c r="G14">
        <v>0.28299999999999997</v>
      </c>
    </row>
    <row r="15" spans="1:7" x14ac:dyDescent="0.35">
      <c r="A15" t="s">
        <v>30</v>
      </c>
      <c r="B15" t="s">
        <v>31</v>
      </c>
      <c r="C15">
        <v>0.5</v>
      </c>
      <c r="D15">
        <v>0.40820000000000001</v>
      </c>
      <c r="E15">
        <v>0.20599999999999999</v>
      </c>
      <c r="F15">
        <v>0.1699</v>
      </c>
      <c r="G15">
        <v>0.1699</v>
      </c>
    </row>
    <row r="16" spans="1:7" x14ac:dyDescent="0.35">
      <c r="A16" t="s">
        <v>32</v>
      </c>
      <c r="B16" t="s">
        <v>33</v>
      </c>
      <c r="C16">
        <v>0.6</v>
      </c>
      <c r="D16">
        <v>0.51639999999999997</v>
      </c>
      <c r="E16">
        <v>0.40920000000000001</v>
      </c>
      <c r="F16">
        <v>0.1757</v>
      </c>
      <c r="G16">
        <v>0.1757</v>
      </c>
    </row>
    <row r="17" spans="1:7" x14ac:dyDescent="0.35">
      <c r="A17" t="s">
        <v>34</v>
      </c>
      <c r="B17" t="s">
        <v>35</v>
      </c>
      <c r="C17">
        <v>0.61109999999999998</v>
      </c>
      <c r="D17">
        <v>0.46439999999999998</v>
      </c>
      <c r="E17">
        <v>0.34689999999999999</v>
      </c>
      <c r="F17">
        <v>0.22789999999999999</v>
      </c>
      <c r="G17">
        <v>0.22789999999999999</v>
      </c>
    </row>
    <row r="18" spans="1:7" x14ac:dyDescent="0.35">
      <c r="A18" t="s">
        <v>36</v>
      </c>
      <c r="B18" t="s">
        <v>26</v>
      </c>
      <c r="C18">
        <v>0.6</v>
      </c>
      <c r="D18">
        <v>0.51639999999999997</v>
      </c>
      <c r="E18">
        <v>0.40920000000000001</v>
      </c>
      <c r="F18">
        <v>0.31240000000000001</v>
      </c>
      <c r="G18">
        <v>0.31240000000000001</v>
      </c>
    </row>
    <row r="19" spans="1:7" x14ac:dyDescent="0.35">
      <c r="A19" t="s">
        <v>37</v>
      </c>
      <c r="B19" t="s">
        <v>38</v>
      </c>
      <c r="C19">
        <v>0.75</v>
      </c>
      <c r="D19">
        <v>0.65469999999999995</v>
      </c>
      <c r="E19">
        <v>0.60150000000000003</v>
      </c>
      <c r="F19">
        <v>0.54110000000000003</v>
      </c>
      <c r="G19">
        <v>0.54110000000000003</v>
      </c>
    </row>
    <row r="20" spans="1:7" x14ac:dyDescent="0.35">
      <c r="A20" t="s">
        <v>39</v>
      </c>
      <c r="B20" t="s">
        <v>40</v>
      </c>
      <c r="C20">
        <v>0.8</v>
      </c>
      <c r="D20">
        <v>0.67610000000000003</v>
      </c>
      <c r="E20">
        <v>0.52349999999999997</v>
      </c>
      <c r="F20">
        <v>0.39129999999999998</v>
      </c>
      <c r="G20">
        <v>0.39129999999999998</v>
      </c>
    </row>
    <row r="21" spans="1:7" x14ac:dyDescent="0.35">
      <c r="A21" t="s">
        <v>41</v>
      </c>
      <c r="B21" t="s">
        <v>18</v>
      </c>
      <c r="C21">
        <v>0.625</v>
      </c>
      <c r="D21">
        <v>0.59760000000000002</v>
      </c>
      <c r="E21">
        <v>0.56640000000000001</v>
      </c>
      <c r="F21">
        <v>0.51700000000000002</v>
      </c>
      <c r="G21">
        <v>0.51700000000000002</v>
      </c>
    </row>
    <row r="22" spans="1:7" x14ac:dyDescent="0.35">
      <c r="A22" t="s">
        <v>42</v>
      </c>
      <c r="B22" t="s">
        <v>43</v>
      </c>
      <c r="C22">
        <v>0.72729999999999995</v>
      </c>
      <c r="D22">
        <v>0.53939999999999999</v>
      </c>
      <c r="E22">
        <v>0.40500000000000003</v>
      </c>
      <c r="F22">
        <v>0.29980000000000001</v>
      </c>
      <c r="G22">
        <v>0.29980000000000001</v>
      </c>
    </row>
    <row r="23" spans="1:7" x14ac:dyDescent="0.35">
      <c r="A23" t="s">
        <v>44</v>
      </c>
      <c r="B23" t="s">
        <v>24</v>
      </c>
      <c r="C23">
        <v>0.75</v>
      </c>
      <c r="D23">
        <v>0.65469999999999995</v>
      </c>
      <c r="E23">
        <v>0.5262</v>
      </c>
      <c r="F23">
        <v>0.41110000000000002</v>
      </c>
      <c r="G23">
        <v>0.41110000000000002</v>
      </c>
    </row>
    <row r="24" spans="1:7" x14ac:dyDescent="0.35">
      <c r="A24" t="s">
        <v>45</v>
      </c>
      <c r="B24" t="s">
        <v>43</v>
      </c>
      <c r="C24">
        <v>0.6</v>
      </c>
      <c r="D24">
        <v>0.57740000000000002</v>
      </c>
      <c r="E24">
        <v>0.55359999999999998</v>
      </c>
      <c r="F24">
        <v>0.51700000000000002</v>
      </c>
      <c r="G24">
        <v>0.51700000000000002</v>
      </c>
    </row>
    <row r="25" spans="1:7" x14ac:dyDescent="0.35">
      <c r="A25" t="s">
        <v>46</v>
      </c>
      <c r="B25" t="s">
        <v>47</v>
      </c>
      <c r="C25">
        <v>0.70540000000000003</v>
      </c>
      <c r="D25">
        <v>0.69110000000000005</v>
      </c>
      <c r="E25">
        <v>0.6734</v>
      </c>
      <c r="F25">
        <v>0.64319999999999999</v>
      </c>
      <c r="G25">
        <v>0.64319999999999999</v>
      </c>
    </row>
    <row r="26" spans="1:7" x14ac:dyDescent="0.35">
      <c r="A26" t="s">
        <v>48</v>
      </c>
      <c r="B26" t="s">
        <v>49</v>
      </c>
      <c r="C26">
        <v>0.71430000000000005</v>
      </c>
      <c r="D26">
        <v>0.69010000000000005</v>
      </c>
      <c r="E26">
        <v>0.5786</v>
      </c>
      <c r="F26">
        <v>0.46710000000000002</v>
      </c>
      <c r="G26">
        <v>0.46710000000000002</v>
      </c>
    </row>
    <row r="27" spans="1:7" x14ac:dyDescent="0.35">
      <c r="A27" t="s">
        <v>50</v>
      </c>
      <c r="B27" t="s">
        <v>16</v>
      </c>
      <c r="C27">
        <v>0.76670000000000005</v>
      </c>
      <c r="D27">
        <v>0.67</v>
      </c>
      <c r="E27">
        <v>0.59370000000000001</v>
      </c>
      <c r="F27">
        <v>0.53910000000000002</v>
      </c>
      <c r="G27">
        <v>0.53910000000000002</v>
      </c>
    </row>
    <row r="28" spans="1:7" x14ac:dyDescent="0.35">
      <c r="A28" t="s">
        <v>51</v>
      </c>
      <c r="B28" t="s">
        <v>51</v>
      </c>
      <c r="C28">
        <v>1</v>
      </c>
      <c r="D28">
        <v>1</v>
      </c>
      <c r="E28">
        <v>1</v>
      </c>
      <c r="F28">
        <v>1</v>
      </c>
      <c r="G2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4D6C-1606-46CF-8D26-61822084AE67}">
  <dimension ref="A1:E6"/>
  <sheetViews>
    <sheetView workbookViewId="0">
      <selection activeCell="B2" sqref="B2:E5"/>
    </sheetView>
  </sheetViews>
  <sheetFormatPr defaultRowHeight="14.5" x14ac:dyDescent="0.35"/>
  <sheetData>
    <row r="1" spans="1:5" x14ac:dyDescent="0.35">
      <c r="B1" t="s">
        <v>52</v>
      </c>
      <c r="C1" t="s">
        <v>53</v>
      </c>
      <c r="D1" t="s">
        <v>54</v>
      </c>
      <c r="E1" t="s">
        <v>55</v>
      </c>
    </row>
    <row r="2" spans="1:5" x14ac:dyDescent="0.35">
      <c r="A2" t="s">
        <v>2</v>
      </c>
      <c r="B2" s="2">
        <f>AVERAGE(Sheet1!C2:C28)</f>
        <v>0.66472222222222233</v>
      </c>
      <c r="C2" s="2">
        <f>MEDIAN(Sheet1!C2:C28)</f>
        <v>0.66669999999999996</v>
      </c>
      <c r="D2" s="2">
        <f>MIN(Sheet1!C2:C28)</f>
        <v>0.35</v>
      </c>
      <c r="E2" s="2">
        <f>MAX(Sheet1!C2:C28)</f>
        <v>1</v>
      </c>
    </row>
    <row r="3" spans="1:5" x14ac:dyDescent="0.35">
      <c r="A3" t="s">
        <v>3</v>
      </c>
      <c r="B3" s="2">
        <f>AVERAGE(Sheet1!D2:D28)</f>
        <v>0.5789185185185185</v>
      </c>
      <c r="C3" s="2">
        <f>MEDIAN(Sheet1!D2:D28)</f>
        <v>0.57740000000000002</v>
      </c>
      <c r="D3" s="2">
        <f>MIN(Sheet1!D2:D28)</f>
        <v>0.30349999999999999</v>
      </c>
      <c r="E3" s="2">
        <f>MAX(Sheet1!D2:D28)</f>
        <v>1</v>
      </c>
    </row>
    <row r="4" spans="1:5" x14ac:dyDescent="0.35">
      <c r="A4" t="s">
        <v>4</v>
      </c>
      <c r="B4" s="2">
        <f>AVERAGE(Sheet1!E2:E28)</f>
        <v>0.493611111111111</v>
      </c>
      <c r="C4" s="2">
        <f>MEDIAN(Sheet1!E2:E28)</f>
        <v>0.46429999999999999</v>
      </c>
      <c r="D4" s="2">
        <f>MIN(Sheet1!E2:E28)</f>
        <v>0.20599999999999999</v>
      </c>
      <c r="E4" s="2">
        <f>MAX(Sheet1!E2:E28)</f>
        <v>1</v>
      </c>
    </row>
    <row r="5" spans="1:5" x14ac:dyDescent="0.35">
      <c r="A5" t="s">
        <v>5</v>
      </c>
      <c r="B5" s="2">
        <f>AVERAGE(Sheet1!F2:F28)</f>
        <v>0.40961481481481488</v>
      </c>
      <c r="C5" s="2">
        <f>MEDIAN(Sheet1!F2:F28)</f>
        <v>0.37680000000000002</v>
      </c>
      <c r="D5" s="2">
        <f>MIN(Sheet1!F2:F28)</f>
        <v>0.1699</v>
      </c>
      <c r="E5" s="2">
        <f>MAX(Sheet1!F5:F28)</f>
        <v>1</v>
      </c>
    </row>
    <row r="6" spans="1:5" x14ac:dyDescent="0.35">
      <c r="A6" t="s">
        <v>56</v>
      </c>
      <c r="B6" s="2">
        <f>AVERAGE(Sheet1!G2:G28)</f>
        <v>0.40961481481481488</v>
      </c>
      <c r="C6" s="2">
        <f>MEDIAN(Sheet1!G2:G28)</f>
        <v>0.37680000000000002</v>
      </c>
      <c r="D6" s="2">
        <f>MIN(Sheet1!G2:G28)</f>
        <v>0.1699</v>
      </c>
      <c r="E6" s="2">
        <f>MAX(Sheet1!G2:G28)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 Van Der Berg</cp:lastModifiedBy>
  <dcterms:created xsi:type="dcterms:W3CDTF">2025-08-28T13:03:09Z</dcterms:created>
  <dcterms:modified xsi:type="dcterms:W3CDTF">2025-08-28T17:04:06Z</dcterms:modified>
</cp:coreProperties>
</file>