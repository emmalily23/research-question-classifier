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vbremm005_myuct_ac_za/Documents/Documents/Honours/Project Final/Data/TemplateEvaluation/"/>
    </mc:Choice>
  </mc:AlternateContent>
  <xr:revisionPtr revIDLastSave="59" documentId="11_15695108D0737A0E62355476585DCE3A8747AEB1" xr6:coauthVersionLast="47" xr6:coauthVersionMax="47" xr10:uidLastSave="{85033CB4-870B-4C1C-977F-C94CB12842C1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C6" i="2"/>
  <c r="C2" i="2"/>
  <c r="B6" i="2"/>
  <c r="C5" i="2"/>
  <c r="C4" i="2"/>
  <c r="C3" i="2"/>
  <c r="B5" i="2"/>
  <c r="B3" i="2"/>
  <c r="D3" i="2"/>
  <c r="D4" i="2"/>
  <c r="D5" i="2"/>
  <c r="E5" i="2"/>
  <c r="E4" i="2"/>
  <c r="E3" i="2"/>
  <c r="E2" i="2"/>
  <c r="D2" i="2"/>
  <c r="B4" i="2"/>
  <c r="B2" i="2"/>
</calcChain>
</file>

<file path=xl/sharedStrings.xml><?xml version="1.0" encoding="utf-8"?>
<sst xmlns="http://schemas.openxmlformats.org/spreadsheetml/2006/main" count="160" uniqueCount="128">
  <si>
    <t>RQ</t>
  </si>
  <si>
    <t>Best Template</t>
  </si>
  <si>
    <t>BLEU-1</t>
  </si>
  <si>
    <t>BLEU-2</t>
  </si>
  <si>
    <t>BLEU-3</t>
  </si>
  <si>
    <t>BLEU-4</t>
  </si>
  <si>
    <t>Cumulative BLEU</t>
  </si>
  <si>
    <t>Can EC1 PC1 EC2 and PC2 EC3 ?</t>
  </si>
  <si>
    <t>Can PC1 reliably PC2 EC1 and PC3 EC2 ?</t>
  </si>
  <si>
    <t>Is EC1 consistently superior to EC2 , at least in EC3 ?</t>
  </si>
  <si>
    <t>Is EC1 superior to EC2 , which PC1 EC3 at EC4 simultaneously?</t>
  </si>
  <si>
    <t>Is PC1 on EC1 of EC2 better than generally PC2 EC3 ?</t>
  </si>
  <si>
    <t>How does EC1 PC1 to PC2 EC2 PC3 on EC3 of EC4 ?</t>
  </si>
  <si>
    <t>Is EC1 in EC2 consistent across EC3 within EC4 ?</t>
  </si>
  <si>
    <t>Is there EC1 in EC2 of EC3 across EC4 ?</t>
  </si>
  <si>
    <t>How dependent is EC1 on EC2 of EC3 ?</t>
  </si>
  <si>
    <t>What is EC1 of EC2 on EC3 of EC4 ?</t>
  </si>
  <si>
    <t>How EC1 of EC2 would PC1 EC3 and cross-domain EC4 ?</t>
  </si>
  <si>
    <t>How does EC1 PC1 EC2 and EC3 of EC4 ?</t>
  </si>
  <si>
    <t>Do EC1 EC2 PC1 between EC3 ?</t>
  </si>
  <si>
    <t>How do EC1 PC1 between EC2 and EC3 ?</t>
  </si>
  <si>
    <t>How can we effectively PC1 EC1 from EC2 PC2 EC3 and EC4 of EC5 and EC6 in EC7 ?</t>
  </si>
  <si>
    <t>How can we effectively PC1 EC1 in EC2 to EC3 PC2 EC4 ?</t>
  </si>
  <si>
    <t>How can we PC1 EC1 PC2 EC2 ?</t>
  </si>
  <si>
    <t>Can we PC1 EC1 PC2 EC2 ?</t>
  </si>
  <si>
    <t>How does EC1 PC1 with EC2 in EC3 ?</t>
  </si>
  <si>
    <t>How can we PC1 if EC1 consistently PC2 EC2 on EC3 of EC4 PC3 ?</t>
  </si>
  <si>
    <t>How can we PC1 EC1 of EC2 PC2 EC3 and PC3 EC4 ?</t>
  </si>
  <si>
    <t>EC1 between EC2 and EC3 on PC1 EC4 of EC5 Do EC6 and EC7 rank EC8 of EC9 similarly?</t>
  </si>
  <si>
    <t>Given that EC1 is not EC2 , we PC1 EC3 of EC4 PC2 between EC5 and EC6 ?</t>
  </si>
  <si>
    <t>Do EC1 primarily PC1 EC2 of EC3 for EC4 besides EC5 ?</t>
  </si>
  <si>
    <t>What are EC1 of EC2 for EC3 ?</t>
  </si>
  <si>
    <t>Do EC1 PC1 to become PC2 in EC2 ?</t>
  </si>
  <si>
    <t>Do EC1 PC1 to EC2 ?</t>
  </si>
  <si>
    <t>Can EC1 PC1 as EC2 and EC3 PC2 EC4 ?</t>
  </si>
  <si>
    <t>Are EC1 and EC2 EC3 PC1 EC4 ?</t>
  </si>
  <si>
    <t>How does HyCoRec PC1 with EC1 in EC2 ?</t>
  </si>
  <si>
    <t>How effective is EC1 at EC2 in general?</t>
  </si>
  <si>
    <t>How effective is EC1 in EC2 ?</t>
  </si>
  <si>
    <t>Should we PC1 EC1 , or can we effectively PC2 EC2 by PC3 EC3 and EC4 into EC5 ?</t>
  </si>
  <si>
    <t>Can we PC1 EC1 and EC2 of EC3 and significantly PC2 EC4 by PC3 directly on the speech signal EC5 ?</t>
  </si>
  <si>
    <t>Can EC1 be PC1 as EC2 for EC3 ?</t>
  </si>
  <si>
    <t>What is EC1 PC1 against EC2 for EC3 ?</t>
  </si>
  <si>
    <t>Do EC1 PC1 to be understandable by EC2 in EC3 to EC4 PC2 EC5 ?</t>
  </si>
  <si>
    <t>How do differences in EC1 of EC2 PC1 EC3 ?</t>
  </si>
  <si>
    <t>Do EC1 PC1 EC2 of EC3 PC2 EC4 ?</t>
  </si>
  <si>
    <t>EC1 is What PC1 EC2 in EC3 when PC2 EC4 ?</t>
  </si>
  <si>
    <t>We PC1 whether EC1 PC2 EC2 when PC3 EC3 ?</t>
  </si>
  <si>
    <t>Can EC1 effectively PC1 EC2 PC2 by EC3 for EC4 in EC5 ?</t>
  </si>
  <si>
    <t>Can EC1 effectively PC1 EC2 and EC3 without EC4 ?</t>
  </si>
  <si>
    <t>How do EC1 and EC2 impact EC3 ?</t>
  </si>
  <si>
    <t>How do EC1 impact EC2 ?</t>
  </si>
  <si>
    <t>Does EC1 PC1 from EC2 pre-training?</t>
  </si>
  <si>
    <t>Do EC1 PC1 from EC2 as EC3 ?</t>
  </si>
  <si>
    <t>How do EC1 PC1 EC2 ?</t>
  </si>
  <si>
    <t>How do we PC1 the difference between EC1 and EC2 ?</t>
  </si>
  <si>
    <t>Do EC1 PC1 the difference between EC2 and EC3 ?</t>
  </si>
  <si>
    <t>How can we effectively PC1 EC1 for EC2 and EC3 across EC4 ?</t>
  </si>
  <si>
    <t>How can we PC1 EC1 PC2 EC2 for EC3 and EC4 ?</t>
  </si>
  <si>
    <t>Does EC1 always PC1 EC2 ?</t>
  </si>
  <si>
    <t>Does EC1 PC1 EC2 ?</t>
  </si>
  <si>
    <t>Can EC1 PC1 between EC2 ?</t>
  </si>
  <si>
    <t>Is EC1 robust to EC2 in EC3 such as EC4 and EC5 ?</t>
  </si>
  <si>
    <t>How EC1 in EC2 and EC3 when PC1 to EC4 in EC5 and EC6 ?</t>
  </si>
  <si>
    <t>How does EC1 PC1 EC2 PC2 for EC3 ?</t>
  </si>
  <si>
    <t>How does EC1 PC1 EC2 of EC3 ?</t>
  </si>
  <si>
    <t>How detrimental is EC1 between EC2 for EC3 ?</t>
  </si>
  <si>
    <t>What is EC1 between EC2 and EC3 for EC4 ?</t>
  </si>
  <si>
    <t>To what extent do EC1 PC1 by EC2 overlap?</t>
  </si>
  <si>
    <t>To what extent do EC1 PC1 EC2 ?</t>
  </si>
  <si>
    <t>Does PC1 EC1 and EC2 lead to EC3 than EC4 that PC2 EC5 only?</t>
  </si>
  <si>
    <t>Does PC1 EC1 and EC2 in EC3 to EC4 in EC5 ?</t>
  </si>
  <si>
    <t>How PC1 EC1 of EC2 in EC3 of EC4 ?</t>
  </si>
  <si>
    <t>Do EC1 spontaneously PC1 EC2 of EC3 in EC4 ?</t>
  </si>
  <si>
    <t>Are PC1 effective in PC2 EC2 of EC3 ?, and are EC4 relevant to EC5 + EC6 , and PC3 EC7 with EC8 ?</t>
  </si>
  <si>
    <t>How well does EC1 PC1 EC2 and EC3 to EC4 and EC5 by PC2 EC6 , PC3 EC7 or EC8 of EC9 EC10 , and PC4 EC11 of EC12 ?</t>
  </si>
  <si>
    <t>Whether EC1 PC1 EC2 on EC3 , EC4 and EC5 ?</t>
  </si>
  <si>
    <t>How does EC1 PC1 with EC2 PC2 EC3 on EC4 ?</t>
  </si>
  <si>
    <t>How does EC1 PC1 EC2 EC3 ?</t>
  </si>
  <si>
    <t>How does EC1 PC1 EC2 ?</t>
  </si>
  <si>
    <t>How EC1 in EC2 ?</t>
  </si>
  <si>
    <t>How does PC1 EC1 in EC2 ?</t>
  </si>
  <si>
    <t>Can EC1 PC1 EC2 ?</t>
  </si>
  <si>
    <t>How do EC1 PC1 on EC2 of EC3 ?</t>
  </si>
  <si>
    <t>Can we PC1 EC1 on EC2 and measure EC3 PC2 on how EC4 PC3 EC5 ?</t>
  </si>
  <si>
    <t>Do EC1 PC1 EC2 ?</t>
  </si>
  <si>
    <t>Can EC1 PC1 on EC2 acquire EC3 ?</t>
  </si>
  <si>
    <t>How does EC1 PC1 on EC2 ?</t>
  </si>
  <si>
    <t>Does PC1 EC1 and PC2 EC2 PC3 EC3 ?</t>
  </si>
  <si>
    <t>How PC1 EC1 and PC2 EC2 PC3 EC3 trade-off?</t>
  </si>
  <si>
    <t>How does PC1 EC1 PC2 EC2 PC3 EC3 ?</t>
  </si>
  <si>
    <t>To what extent do EC1 PC1 EC2 PC2 EC3 ?</t>
  </si>
  <si>
    <t>Can PC1 EC1 effectively PC2 EC2 of EC3 ?</t>
  </si>
  <si>
    <t>Can EC1 PC1 EC2 of EC3 ?</t>
  </si>
  <si>
    <t>Do EC1 PC1 EC2 of EC3 , particularly in EC4 ?</t>
  </si>
  <si>
    <t>Do EC1 PC1 EC2 of EC3 , and EC4 ?</t>
  </si>
  <si>
    <t>How well EC1 be PC1 EC2 , within and across EC3 ?</t>
  </si>
  <si>
    <t>How well PC1 EC1 and EC2 transfer to each other across EC3 ?</t>
  </si>
  <si>
    <t>Why does EC1 PC1 on EC2 perform even better than EC3 PC2 on EC4 in EC5 ?</t>
  </si>
  <si>
    <t>Why do EC1 PC1 on EC2 perform differently on EC3 ?</t>
  </si>
  <si>
    <t>Does EC1 speech address EC2 in EC3 ?</t>
  </si>
  <si>
    <t>Does EC1 PC1 EC2 in EC3 ?</t>
  </si>
  <si>
    <t>Do prompt-based EC1 PC1 on EC2 also PC2 from EC3 ?</t>
  </si>
  <si>
    <t>How much does PC1 EC2 in EC3 PC2 across EC4 ?</t>
  </si>
  <si>
    <t>Can we precisely PC1 EC1 in EC2 PC2 EC3 ?</t>
  </si>
  <si>
    <t>Which EC1 PC1 Well on EC2 ?</t>
  </si>
  <si>
    <t>How does EC1 of EC2 vary?</t>
  </si>
  <si>
    <t>How does EC1 of EC2 correlate with EC3 ?</t>
  </si>
  <si>
    <t>How are EC1 PC1 over EC2 ?</t>
  </si>
  <si>
    <t>Can EC1 PC1 EC2 by PC2 EC3 ?</t>
  </si>
  <si>
    <t>Does EC1 PC1 EC2 regardless of EC3 and PC2 EC4 of EC5 ?</t>
  </si>
  <si>
    <t>Does EC1 of EC2 to EC3 PC1 on EC4 ?</t>
  </si>
  <si>
    <t>How do EC1 PC1 in EC2 of EC3 to EC4 ?</t>
  </si>
  <si>
    <t>How does EC1 PC1 against EC2 ?</t>
  </si>
  <si>
    <t>Should we PC1 EC1 for EC2 and EC3 ?</t>
  </si>
  <si>
    <t>If we can PC1 EC1 in EC2 , what can we PC2 EC3 into EC4 PC3 EC5 ?</t>
  </si>
  <si>
    <t>How does EC1 of EC2 change during EC3 ?</t>
  </si>
  <si>
    <t>What EC1 do EC2 PC1 EC3 , and how do EC4 PC2 EC5 ?</t>
  </si>
  <si>
    <t>In which EC1 do EC2 PC1 EC3 , such as PC2 EC4 ?</t>
  </si>
  <si>
    <t>How can EC1 PC1 EC2 PC2 EC3 less amenable to EC4 without PC3 EC5 to EC6 ?</t>
  </si>
  <si>
    <t>How can EC1 PC1 EC2 across EC3 and EC4 ?</t>
  </si>
  <si>
    <t>Can EC1 PC1 EC2 and EC3 in EC4 of EC5 ?</t>
  </si>
  <si>
    <t>Can EC1 PC1 EC2 and EC3 in EC4 without EC5 ?</t>
  </si>
  <si>
    <t>Average</t>
  </si>
  <si>
    <t>Median</t>
  </si>
  <si>
    <t>Min</t>
  </si>
  <si>
    <t>Max</t>
  </si>
  <si>
    <t>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</si>
</sst>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workbookViewId="0">
      <selection activeCell="A74" sqref="A74"/>
    </sheetView>
  </sheetViews>
  <sheetFormatPr defaultRowHeight="14.5" x14ac:dyDescent="0.35"/>
  <cols>
    <col min="1" max="1" width="49.453125" customWidth="1"/>
    <col min="2" max="2" width="41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0.7722</v>
      </c>
      <c r="D2">
        <v>0.69769999999999999</v>
      </c>
      <c r="E2">
        <v>0.66110000000000002</v>
      </c>
      <c r="F2">
        <v>0.624</v>
      </c>
      <c r="G2">
        <v>0.624</v>
      </c>
    </row>
    <row r="3" spans="1:7" x14ac:dyDescent="0.35">
      <c r="A3" t="s">
        <v>9</v>
      </c>
      <c r="B3" t="s">
        <v>10</v>
      </c>
      <c r="C3">
        <v>0.66669999999999996</v>
      </c>
      <c r="D3">
        <v>0.4924</v>
      </c>
      <c r="E3">
        <v>0.36830000000000002</v>
      </c>
      <c r="F3">
        <v>0.27089999999999997</v>
      </c>
      <c r="G3">
        <v>0.27089999999999997</v>
      </c>
    </row>
    <row r="4" spans="1:7" x14ac:dyDescent="0.35">
      <c r="A4" t="s">
        <v>11</v>
      </c>
      <c r="B4" t="s">
        <v>12</v>
      </c>
      <c r="C4">
        <v>0.61339999999999995</v>
      </c>
      <c r="D4">
        <v>0.55479999999999996</v>
      </c>
      <c r="E4">
        <v>0.44290000000000002</v>
      </c>
      <c r="F4">
        <v>0.36299999999999999</v>
      </c>
      <c r="G4">
        <v>0.36299999999999999</v>
      </c>
    </row>
    <row r="5" spans="1:7" x14ac:dyDescent="0.35">
      <c r="A5" t="s">
        <v>13</v>
      </c>
      <c r="B5" t="s">
        <v>14</v>
      </c>
      <c r="C5">
        <v>0.8</v>
      </c>
      <c r="D5">
        <v>0.59630000000000005</v>
      </c>
      <c r="E5">
        <v>0.3579</v>
      </c>
      <c r="F5">
        <v>0.15870000000000001</v>
      </c>
      <c r="G5">
        <v>0.15870000000000001</v>
      </c>
    </row>
    <row r="6" spans="1:7" x14ac:dyDescent="0.35">
      <c r="A6" t="s">
        <v>15</v>
      </c>
      <c r="B6" t="s">
        <v>16</v>
      </c>
      <c r="C6">
        <v>0.69599999999999995</v>
      </c>
      <c r="D6">
        <v>0.68340000000000001</v>
      </c>
      <c r="E6">
        <v>0.62270000000000003</v>
      </c>
      <c r="F6">
        <v>0.57179999999999997</v>
      </c>
      <c r="G6">
        <v>0.57179999999999997</v>
      </c>
    </row>
    <row r="7" spans="1:7" x14ac:dyDescent="0.35">
      <c r="A7" t="s">
        <v>17</v>
      </c>
      <c r="B7" t="s">
        <v>18</v>
      </c>
      <c r="C7">
        <v>0.81820000000000004</v>
      </c>
      <c r="D7">
        <v>0.63959999999999995</v>
      </c>
      <c r="E7">
        <v>0.45329999999999998</v>
      </c>
      <c r="F7">
        <v>0.18360000000000001</v>
      </c>
      <c r="G7">
        <v>0.18360000000000001</v>
      </c>
    </row>
    <row r="8" spans="1:7" x14ac:dyDescent="0.35">
      <c r="A8" t="s">
        <v>19</v>
      </c>
      <c r="B8" t="s">
        <v>20</v>
      </c>
      <c r="C8">
        <v>0.64410000000000001</v>
      </c>
      <c r="D8">
        <v>0.56810000000000005</v>
      </c>
      <c r="E8">
        <v>0.4617</v>
      </c>
      <c r="F8">
        <v>0.3674</v>
      </c>
      <c r="G8">
        <v>0.3674</v>
      </c>
    </row>
    <row r="9" spans="1:7" x14ac:dyDescent="0.35">
      <c r="A9" t="s">
        <v>18</v>
      </c>
      <c r="B9" t="s">
        <v>18</v>
      </c>
      <c r="C9">
        <v>1</v>
      </c>
      <c r="D9">
        <v>1</v>
      </c>
      <c r="E9">
        <v>1</v>
      </c>
      <c r="F9">
        <v>1</v>
      </c>
      <c r="G9">
        <v>1</v>
      </c>
    </row>
    <row r="10" spans="1:7" x14ac:dyDescent="0.35">
      <c r="A10" t="s">
        <v>21</v>
      </c>
      <c r="B10" t="s">
        <v>22</v>
      </c>
      <c r="C10">
        <v>0.63160000000000005</v>
      </c>
      <c r="D10">
        <v>0.59230000000000005</v>
      </c>
      <c r="E10">
        <v>0.50190000000000001</v>
      </c>
      <c r="F10">
        <v>0.39040000000000002</v>
      </c>
      <c r="G10">
        <v>0.39040000000000002</v>
      </c>
    </row>
    <row r="11" spans="1:7" x14ac:dyDescent="0.35">
      <c r="A11" t="s">
        <v>23</v>
      </c>
      <c r="B11" t="s">
        <v>24</v>
      </c>
      <c r="C11">
        <v>0.75</v>
      </c>
      <c r="D11">
        <v>0.7319</v>
      </c>
      <c r="E11">
        <v>0.71189999999999998</v>
      </c>
      <c r="F11">
        <v>0.6804</v>
      </c>
      <c r="G11">
        <v>0.6804</v>
      </c>
    </row>
    <row r="12" spans="1:7" x14ac:dyDescent="0.35">
      <c r="A12" t="s">
        <v>25</v>
      </c>
      <c r="B12" t="s">
        <v>25</v>
      </c>
      <c r="C12">
        <v>1</v>
      </c>
      <c r="D12">
        <v>1</v>
      </c>
      <c r="E12">
        <v>1</v>
      </c>
      <c r="F12">
        <v>1</v>
      </c>
      <c r="G12">
        <v>1</v>
      </c>
    </row>
    <row r="13" spans="1:7" x14ac:dyDescent="0.35">
      <c r="A13" t="s">
        <v>26</v>
      </c>
      <c r="B13" t="s">
        <v>27</v>
      </c>
      <c r="C13">
        <v>0.8</v>
      </c>
      <c r="D13">
        <v>0.63249999999999995</v>
      </c>
      <c r="E13">
        <v>0.50090000000000001</v>
      </c>
      <c r="F13">
        <v>0.37840000000000001</v>
      </c>
      <c r="G13">
        <v>0.37840000000000001</v>
      </c>
    </row>
    <row r="14" spans="1:7" x14ac:dyDescent="0.35">
      <c r="A14" t="s">
        <v>28</v>
      </c>
      <c r="B14" t="s">
        <v>29</v>
      </c>
      <c r="C14">
        <v>0.52629999999999999</v>
      </c>
      <c r="D14">
        <v>0.41889999999999999</v>
      </c>
      <c r="E14">
        <v>0.3493</v>
      </c>
      <c r="F14">
        <v>0.26800000000000002</v>
      </c>
      <c r="G14">
        <v>0.26800000000000002</v>
      </c>
    </row>
    <row r="15" spans="1:7" x14ac:dyDescent="0.35">
      <c r="A15" t="s">
        <v>30</v>
      </c>
      <c r="B15" t="s">
        <v>31</v>
      </c>
      <c r="C15">
        <v>0.5</v>
      </c>
      <c r="D15">
        <v>0.47670000000000001</v>
      </c>
      <c r="E15">
        <v>0.41220000000000001</v>
      </c>
      <c r="F15">
        <v>0.3508</v>
      </c>
      <c r="G15">
        <v>0.3508</v>
      </c>
    </row>
    <row r="16" spans="1:7" x14ac:dyDescent="0.35">
      <c r="A16" t="s">
        <v>32</v>
      </c>
      <c r="B16" t="s">
        <v>33</v>
      </c>
      <c r="C16">
        <v>0.66669999999999996</v>
      </c>
      <c r="D16">
        <v>0.57740000000000002</v>
      </c>
      <c r="E16">
        <v>0.46029999999999999</v>
      </c>
      <c r="F16">
        <v>0.35489999999999999</v>
      </c>
      <c r="G16">
        <v>0.35489999999999999</v>
      </c>
    </row>
    <row r="17" spans="1:7" x14ac:dyDescent="0.35">
      <c r="A17" t="s">
        <v>34</v>
      </c>
      <c r="B17" t="s">
        <v>35</v>
      </c>
      <c r="C17">
        <v>0.7</v>
      </c>
      <c r="D17">
        <v>0.62360000000000004</v>
      </c>
      <c r="E17">
        <v>0.52980000000000005</v>
      </c>
      <c r="F17">
        <v>0.37990000000000002</v>
      </c>
      <c r="G17">
        <v>0.37990000000000002</v>
      </c>
    </row>
    <row r="18" spans="1:7" x14ac:dyDescent="0.35">
      <c r="A18" t="s">
        <v>36</v>
      </c>
      <c r="B18" t="s">
        <v>36</v>
      </c>
      <c r="C18">
        <v>1</v>
      </c>
      <c r="D18">
        <v>1</v>
      </c>
      <c r="E18">
        <v>1</v>
      </c>
      <c r="F18">
        <v>1</v>
      </c>
      <c r="G18">
        <v>1</v>
      </c>
    </row>
    <row r="19" spans="1:7" x14ac:dyDescent="0.35">
      <c r="A19" t="s">
        <v>37</v>
      </c>
      <c r="B19" t="s">
        <v>38</v>
      </c>
      <c r="C19">
        <v>0.75</v>
      </c>
      <c r="D19">
        <v>0.65469999999999995</v>
      </c>
      <c r="E19">
        <v>0.5262</v>
      </c>
      <c r="F19">
        <v>0.41110000000000002</v>
      </c>
      <c r="G19">
        <v>0.41110000000000002</v>
      </c>
    </row>
    <row r="20" spans="1:7" x14ac:dyDescent="0.35">
      <c r="A20" t="s">
        <v>39</v>
      </c>
      <c r="B20" t="s">
        <v>40</v>
      </c>
      <c r="C20">
        <v>0.56850000000000001</v>
      </c>
      <c r="D20">
        <v>0.47689999999999999</v>
      </c>
      <c r="E20">
        <v>0.3952</v>
      </c>
      <c r="F20">
        <v>0.28689999999999999</v>
      </c>
      <c r="G20">
        <v>0.28689999999999999</v>
      </c>
    </row>
    <row r="21" spans="1:7" x14ac:dyDescent="0.35">
      <c r="A21" t="s">
        <v>41</v>
      </c>
      <c r="B21" t="s">
        <v>42</v>
      </c>
      <c r="C21">
        <v>0.66669999999999996</v>
      </c>
      <c r="D21">
        <v>0.5</v>
      </c>
      <c r="E21">
        <v>0.41860000000000003</v>
      </c>
      <c r="F21">
        <v>0.33029999999999998</v>
      </c>
      <c r="G21">
        <v>0.33029999999999998</v>
      </c>
    </row>
    <row r="22" spans="1:7" x14ac:dyDescent="0.35">
      <c r="A22" t="s">
        <v>43</v>
      </c>
      <c r="B22" t="s">
        <v>22</v>
      </c>
      <c r="C22">
        <v>0.6</v>
      </c>
      <c r="D22">
        <v>0.54769999999999996</v>
      </c>
      <c r="E22">
        <v>0.52080000000000004</v>
      </c>
      <c r="F22">
        <v>0.49009999999999998</v>
      </c>
      <c r="G22">
        <v>0.49009999999999998</v>
      </c>
    </row>
    <row r="23" spans="1:7" x14ac:dyDescent="0.35">
      <c r="A23" t="s">
        <v>44</v>
      </c>
      <c r="B23" t="s">
        <v>45</v>
      </c>
      <c r="C23">
        <v>0.6</v>
      </c>
      <c r="D23">
        <v>0.57740000000000002</v>
      </c>
      <c r="E23">
        <v>0.55359999999999998</v>
      </c>
      <c r="F23">
        <v>0.51700000000000002</v>
      </c>
      <c r="G23">
        <v>0.51700000000000002</v>
      </c>
    </row>
    <row r="24" spans="1:7" x14ac:dyDescent="0.35">
      <c r="A24" t="s">
        <v>46</v>
      </c>
      <c r="B24" t="s">
        <v>47</v>
      </c>
      <c r="C24">
        <v>0.63639999999999997</v>
      </c>
      <c r="D24">
        <v>0.56410000000000005</v>
      </c>
      <c r="E24">
        <v>0.47689999999999999</v>
      </c>
      <c r="F24">
        <v>0.40350000000000003</v>
      </c>
      <c r="G24">
        <v>0.40350000000000003</v>
      </c>
    </row>
    <row r="25" spans="1:7" x14ac:dyDescent="0.35">
      <c r="A25" t="s">
        <v>48</v>
      </c>
      <c r="B25" t="s">
        <v>49</v>
      </c>
      <c r="C25">
        <v>0.61539999999999995</v>
      </c>
      <c r="D25">
        <v>0.50639999999999996</v>
      </c>
      <c r="E25">
        <v>0.41570000000000001</v>
      </c>
      <c r="F25">
        <v>0.34389999999999998</v>
      </c>
      <c r="G25">
        <v>0.34389999999999998</v>
      </c>
    </row>
    <row r="26" spans="1:7" x14ac:dyDescent="0.35">
      <c r="A26" t="s">
        <v>50</v>
      </c>
      <c r="B26" t="s">
        <v>51</v>
      </c>
      <c r="C26">
        <v>0.75</v>
      </c>
      <c r="D26">
        <v>0.7319</v>
      </c>
      <c r="E26">
        <v>0.64749999999999996</v>
      </c>
      <c r="F26">
        <v>0.48110000000000003</v>
      </c>
      <c r="G26">
        <v>0.48110000000000003</v>
      </c>
    </row>
    <row r="27" spans="1:7" x14ac:dyDescent="0.35">
      <c r="A27" t="s">
        <v>52</v>
      </c>
      <c r="B27" t="s">
        <v>53</v>
      </c>
      <c r="C27">
        <v>0.47770000000000001</v>
      </c>
      <c r="D27">
        <v>0.45319999999999999</v>
      </c>
      <c r="E27">
        <v>0.42130000000000001</v>
      </c>
      <c r="F27">
        <v>0.36409999999999998</v>
      </c>
      <c r="G27">
        <v>0.36409999999999998</v>
      </c>
    </row>
    <row r="28" spans="1:7" x14ac:dyDescent="0.35">
      <c r="A28" t="s">
        <v>54</v>
      </c>
      <c r="B28" t="s">
        <v>54</v>
      </c>
      <c r="C28">
        <v>1</v>
      </c>
      <c r="D28">
        <v>1</v>
      </c>
      <c r="E28">
        <v>1</v>
      </c>
      <c r="F28">
        <v>1</v>
      </c>
      <c r="G28">
        <v>1</v>
      </c>
    </row>
    <row r="29" spans="1:7" x14ac:dyDescent="0.35">
      <c r="A29" t="s">
        <v>55</v>
      </c>
      <c r="B29" t="s">
        <v>56</v>
      </c>
      <c r="C29">
        <v>0.72729999999999995</v>
      </c>
      <c r="D29">
        <v>0.71350000000000002</v>
      </c>
      <c r="E29">
        <v>0.70009999999999994</v>
      </c>
      <c r="F29">
        <v>0.67869999999999997</v>
      </c>
      <c r="G29">
        <v>0.67869999999999997</v>
      </c>
    </row>
    <row r="30" spans="1:7" x14ac:dyDescent="0.35">
      <c r="A30" t="s">
        <v>57</v>
      </c>
      <c r="B30" t="s">
        <v>58</v>
      </c>
      <c r="C30">
        <v>0.84619999999999995</v>
      </c>
      <c r="D30">
        <v>0.75109999999999999</v>
      </c>
      <c r="E30">
        <v>0.63819999999999999</v>
      </c>
      <c r="F30">
        <v>0.52659999999999996</v>
      </c>
      <c r="G30">
        <v>0.52659999999999996</v>
      </c>
    </row>
    <row r="31" spans="1:7" x14ac:dyDescent="0.35">
      <c r="A31" t="s">
        <v>59</v>
      </c>
      <c r="B31" t="s">
        <v>60</v>
      </c>
      <c r="C31">
        <v>0.83330000000000004</v>
      </c>
      <c r="D31">
        <v>0.70709999999999995</v>
      </c>
      <c r="E31">
        <v>0.50349999999999995</v>
      </c>
      <c r="F31">
        <v>0.25409999999999999</v>
      </c>
      <c r="G31">
        <v>0.25409999999999999</v>
      </c>
    </row>
    <row r="32" spans="1:7" x14ac:dyDescent="0.35">
      <c r="A32" t="s">
        <v>61</v>
      </c>
      <c r="B32" t="s">
        <v>20</v>
      </c>
      <c r="C32">
        <v>0.50539999999999996</v>
      </c>
      <c r="D32">
        <v>0.49519999999999997</v>
      </c>
      <c r="E32">
        <v>0.42209999999999998</v>
      </c>
      <c r="F32">
        <v>0.35020000000000001</v>
      </c>
      <c r="G32">
        <v>0.35020000000000001</v>
      </c>
    </row>
    <row r="33" spans="1:7" x14ac:dyDescent="0.35">
      <c r="A33" t="s">
        <v>62</v>
      </c>
      <c r="B33" t="s">
        <v>63</v>
      </c>
      <c r="C33">
        <v>0.59360000000000002</v>
      </c>
      <c r="D33">
        <v>0.50449999999999995</v>
      </c>
      <c r="E33">
        <v>0.43269999999999997</v>
      </c>
      <c r="F33">
        <v>0.34150000000000003</v>
      </c>
      <c r="G33">
        <v>0.34150000000000003</v>
      </c>
    </row>
    <row r="34" spans="1:7" x14ac:dyDescent="0.35">
      <c r="A34" t="s">
        <v>64</v>
      </c>
      <c r="B34" t="s">
        <v>65</v>
      </c>
      <c r="C34">
        <v>0.77780000000000005</v>
      </c>
      <c r="D34">
        <v>0.69720000000000004</v>
      </c>
      <c r="E34">
        <v>0.59589999999999999</v>
      </c>
      <c r="F34">
        <v>0.51329999999999998</v>
      </c>
      <c r="G34">
        <v>0.51329999999999998</v>
      </c>
    </row>
    <row r="35" spans="1:7" x14ac:dyDescent="0.35">
      <c r="A35" t="s">
        <v>54</v>
      </c>
      <c r="B35" t="s">
        <v>54</v>
      </c>
      <c r="C35">
        <v>1</v>
      </c>
      <c r="D35">
        <v>1</v>
      </c>
      <c r="E35">
        <v>1</v>
      </c>
      <c r="F35">
        <v>1</v>
      </c>
      <c r="G35">
        <v>1</v>
      </c>
    </row>
    <row r="36" spans="1:7" x14ac:dyDescent="0.35">
      <c r="A36" t="s">
        <v>66</v>
      </c>
      <c r="B36" t="s">
        <v>67</v>
      </c>
      <c r="C36">
        <v>0.69599999999999995</v>
      </c>
      <c r="D36">
        <v>0.68340000000000001</v>
      </c>
      <c r="E36">
        <v>0.62270000000000003</v>
      </c>
      <c r="F36">
        <v>0.51659999999999995</v>
      </c>
      <c r="G36">
        <v>0.51659999999999995</v>
      </c>
    </row>
    <row r="37" spans="1:7" x14ac:dyDescent="0.35">
      <c r="A37" t="s">
        <v>68</v>
      </c>
      <c r="B37" t="s">
        <v>69</v>
      </c>
      <c r="C37">
        <v>0.77780000000000005</v>
      </c>
      <c r="D37">
        <v>0.69720000000000004</v>
      </c>
      <c r="E37">
        <v>0.65529999999999999</v>
      </c>
      <c r="F37">
        <v>0.61050000000000004</v>
      </c>
      <c r="G37">
        <v>0.61050000000000004</v>
      </c>
    </row>
    <row r="38" spans="1:7" x14ac:dyDescent="0.35">
      <c r="A38" t="s">
        <v>70</v>
      </c>
      <c r="B38" t="s">
        <v>71</v>
      </c>
      <c r="C38">
        <v>0.64290000000000003</v>
      </c>
      <c r="D38">
        <v>0.49719999999999998</v>
      </c>
      <c r="E38">
        <v>0.39910000000000001</v>
      </c>
      <c r="F38">
        <v>0.3256</v>
      </c>
      <c r="G38">
        <v>0.3256</v>
      </c>
    </row>
    <row r="39" spans="1:7" x14ac:dyDescent="0.35">
      <c r="A39" t="s">
        <v>72</v>
      </c>
      <c r="B39" t="s">
        <v>73</v>
      </c>
      <c r="C39">
        <v>0.8</v>
      </c>
      <c r="D39">
        <v>0.73029999999999995</v>
      </c>
      <c r="E39">
        <v>0.64649999999999996</v>
      </c>
      <c r="F39">
        <v>0.58140000000000003</v>
      </c>
      <c r="G39">
        <v>0.58140000000000003</v>
      </c>
    </row>
    <row r="40" spans="1:7" x14ac:dyDescent="0.35">
      <c r="A40" t="s">
        <v>65</v>
      </c>
      <c r="B40" t="s">
        <v>65</v>
      </c>
      <c r="C40">
        <v>1</v>
      </c>
      <c r="D40">
        <v>1</v>
      </c>
      <c r="E40">
        <v>1</v>
      </c>
      <c r="F40">
        <v>1</v>
      </c>
      <c r="G40">
        <v>1</v>
      </c>
    </row>
    <row r="41" spans="1:7" x14ac:dyDescent="0.35">
      <c r="A41" t="s">
        <v>74</v>
      </c>
      <c r="B41" t="s">
        <v>75</v>
      </c>
      <c r="C41">
        <v>0.51919999999999999</v>
      </c>
      <c r="D41">
        <v>0.39779999999999999</v>
      </c>
      <c r="E41">
        <v>0.30659999999999998</v>
      </c>
      <c r="F41">
        <v>0.23630000000000001</v>
      </c>
      <c r="G41">
        <v>0.23630000000000001</v>
      </c>
    </row>
    <row r="42" spans="1:7" x14ac:dyDescent="0.35">
      <c r="A42" t="s">
        <v>76</v>
      </c>
      <c r="B42" t="s">
        <v>77</v>
      </c>
      <c r="C42">
        <v>0.63639999999999997</v>
      </c>
      <c r="D42">
        <v>0.56410000000000005</v>
      </c>
      <c r="E42">
        <v>0.47689999999999999</v>
      </c>
      <c r="F42">
        <v>0.40350000000000003</v>
      </c>
      <c r="G42">
        <v>0.40350000000000003</v>
      </c>
    </row>
    <row r="43" spans="1:7" x14ac:dyDescent="0.35">
      <c r="A43" t="s">
        <v>78</v>
      </c>
      <c r="B43" t="s">
        <v>79</v>
      </c>
      <c r="C43">
        <v>0.85709999999999997</v>
      </c>
      <c r="D43">
        <v>0.84519999999999995</v>
      </c>
      <c r="E43">
        <v>0.75609999999999999</v>
      </c>
      <c r="F43">
        <v>0.6804</v>
      </c>
      <c r="G43">
        <v>0.6804</v>
      </c>
    </row>
    <row r="44" spans="1:7" x14ac:dyDescent="0.35">
      <c r="A44" t="s">
        <v>80</v>
      </c>
      <c r="B44" t="s">
        <v>81</v>
      </c>
      <c r="C44">
        <v>0.67030000000000001</v>
      </c>
      <c r="D44">
        <v>0.58050000000000002</v>
      </c>
      <c r="E44">
        <v>0.5333</v>
      </c>
      <c r="F44">
        <v>0.47399999999999998</v>
      </c>
      <c r="G44">
        <v>0.47399999999999998</v>
      </c>
    </row>
    <row r="45" spans="1:7" x14ac:dyDescent="0.35">
      <c r="A45" t="s">
        <v>82</v>
      </c>
      <c r="B45" t="s">
        <v>82</v>
      </c>
      <c r="C45">
        <v>1</v>
      </c>
      <c r="D45">
        <v>1</v>
      </c>
      <c r="E45">
        <v>1</v>
      </c>
      <c r="F45">
        <v>1</v>
      </c>
      <c r="G45">
        <v>1</v>
      </c>
    </row>
    <row r="46" spans="1:7" x14ac:dyDescent="0.35">
      <c r="A46" t="s">
        <v>83</v>
      </c>
      <c r="B46" t="s">
        <v>12</v>
      </c>
      <c r="C46">
        <v>0.56989999999999996</v>
      </c>
      <c r="D46">
        <v>0.52349999999999997</v>
      </c>
      <c r="E46">
        <v>0.50190000000000001</v>
      </c>
      <c r="F46">
        <v>0.48130000000000001</v>
      </c>
      <c r="G46">
        <v>0.48130000000000001</v>
      </c>
    </row>
    <row r="47" spans="1:7" x14ac:dyDescent="0.35">
      <c r="A47" t="s">
        <v>84</v>
      </c>
      <c r="B47" t="s">
        <v>24</v>
      </c>
      <c r="C47">
        <v>0.4375</v>
      </c>
      <c r="D47">
        <v>0.41830000000000001</v>
      </c>
      <c r="E47">
        <v>0.37209999999999999</v>
      </c>
      <c r="F47">
        <v>0.29620000000000002</v>
      </c>
      <c r="G47">
        <v>0.29620000000000002</v>
      </c>
    </row>
    <row r="48" spans="1:7" x14ac:dyDescent="0.35">
      <c r="A48" t="s">
        <v>85</v>
      </c>
      <c r="B48" t="s">
        <v>85</v>
      </c>
      <c r="C48">
        <v>1</v>
      </c>
      <c r="D48">
        <v>1</v>
      </c>
      <c r="E48">
        <v>1</v>
      </c>
      <c r="F48">
        <v>1</v>
      </c>
      <c r="G48">
        <v>1</v>
      </c>
    </row>
    <row r="49" spans="1:7" x14ac:dyDescent="0.35">
      <c r="A49" t="s">
        <v>86</v>
      </c>
      <c r="B49" t="s">
        <v>87</v>
      </c>
      <c r="C49">
        <v>0.625</v>
      </c>
      <c r="D49">
        <v>0.59760000000000002</v>
      </c>
      <c r="E49">
        <v>0.49540000000000001</v>
      </c>
      <c r="F49">
        <v>0.39279999999999998</v>
      </c>
      <c r="G49">
        <v>0.39279999999999998</v>
      </c>
    </row>
    <row r="50" spans="1:7" x14ac:dyDescent="0.35">
      <c r="A50" t="s">
        <v>88</v>
      </c>
      <c r="B50" t="s">
        <v>89</v>
      </c>
      <c r="C50">
        <v>0.77780000000000005</v>
      </c>
      <c r="D50">
        <v>0.76380000000000003</v>
      </c>
      <c r="E50">
        <v>0.74909999999999999</v>
      </c>
      <c r="F50">
        <v>0.72599999999999998</v>
      </c>
      <c r="G50">
        <v>0.72599999999999998</v>
      </c>
    </row>
    <row r="51" spans="1:7" x14ac:dyDescent="0.35">
      <c r="A51" t="s">
        <v>90</v>
      </c>
      <c r="B51" t="s">
        <v>91</v>
      </c>
      <c r="C51">
        <v>0.59660000000000002</v>
      </c>
      <c r="D51">
        <v>0.5776</v>
      </c>
      <c r="E51">
        <v>0.55730000000000002</v>
      </c>
      <c r="F51">
        <v>0.52559999999999996</v>
      </c>
      <c r="G51">
        <v>0.52559999999999996</v>
      </c>
    </row>
    <row r="52" spans="1:7" x14ac:dyDescent="0.35">
      <c r="A52" t="s">
        <v>92</v>
      </c>
      <c r="B52" t="s">
        <v>93</v>
      </c>
      <c r="C52">
        <v>0.77780000000000005</v>
      </c>
      <c r="D52">
        <v>0.62360000000000004</v>
      </c>
      <c r="E52">
        <v>0.55359999999999998</v>
      </c>
      <c r="F52">
        <v>0.48549999999999999</v>
      </c>
      <c r="G52">
        <v>0.48549999999999999</v>
      </c>
    </row>
    <row r="53" spans="1:7" x14ac:dyDescent="0.35">
      <c r="A53" t="s">
        <v>94</v>
      </c>
      <c r="B53" t="s">
        <v>95</v>
      </c>
      <c r="C53">
        <v>0.81820000000000004</v>
      </c>
      <c r="D53">
        <v>0.75680000000000003</v>
      </c>
      <c r="E53">
        <v>0.68530000000000002</v>
      </c>
      <c r="F53">
        <v>0.63160000000000005</v>
      </c>
      <c r="G53">
        <v>0.63160000000000005</v>
      </c>
    </row>
    <row r="54" spans="1:7" x14ac:dyDescent="0.35">
      <c r="A54" t="s">
        <v>96</v>
      </c>
      <c r="B54" t="s">
        <v>97</v>
      </c>
      <c r="C54">
        <v>0.69</v>
      </c>
      <c r="D54">
        <v>0.48049999999999998</v>
      </c>
      <c r="E54">
        <v>0.28029999999999999</v>
      </c>
      <c r="F54">
        <v>0.12139999999999999</v>
      </c>
      <c r="G54">
        <v>0.12139999999999999</v>
      </c>
    </row>
    <row r="55" spans="1:7" x14ac:dyDescent="0.35">
      <c r="A55" t="s">
        <v>98</v>
      </c>
      <c r="B55" t="s">
        <v>99</v>
      </c>
      <c r="C55">
        <v>0.52939999999999998</v>
      </c>
      <c r="D55">
        <v>0.4456</v>
      </c>
      <c r="E55">
        <v>0.3448</v>
      </c>
      <c r="F55">
        <v>0.27439999999999998</v>
      </c>
      <c r="G55">
        <v>0.27439999999999998</v>
      </c>
    </row>
    <row r="56" spans="1:7" x14ac:dyDescent="0.35">
      <c r="A56" t="s">
        <v>100</v>
      </c>
      <c r="B56" t="s">
        <v>101</v>
      </c>
      <c r="C56">
        <v>0.75</v>
      </c>
      <c r="D56">
        <v>0.65469999999999995</v>
      </c>
      <c r="E56">
        <v>0.5262</v>
      </c>
      <c r="F56">
        <v>0.41110000000000002</v>
      </c>
      <c r="G56">
        <v>0.41110000000000002</v>
      </c>
    </row>
    <row r="57" spans="1:7" x14ac:dyDescent="0.35">
      <c r="A57" t="s">
        <v>102</v>
      </c>
      <c r="B57" t="s">
        <v>99</v>
      </c>
      <c r="C57">
        <v>0.54549999999999998</v>
      </c>
      <c r="D57">
        <v>0.46710000000000002</v>
      </c>
      <c r="E57">
        <v>0.36830000000000002</v>
      </c>
      <c r="F57">
        <v>0.27900000000000003</v>
      </c>
      <c r="G57">
        <v>0.27900000000000003</v>
      </c>
    </row>
    <row r="58" spans="1:7" x14ac:dyDescent="0.35">
      <c r="A58" t="s">
        <v>103</v>
      </c>
      <c r="B58" t="s">
        <v>104</v>
      </c>
      <c r="C58">
        <v>0.63639999999999997</v>
      </c>
      <c r="D58">
        <v>0.56410000000000005</v>
      </c>
      <c r="E58">
        <v>0.47689999999999999</v>
      </c>
      <c r="F58">
        <v>0.40350000000000003</v>
      </c>
      <c r="G58">
        <v>0.40350000000000003</v>
      </c>
    </row>
    <row r="59" spans="1:7" x14ac:dyDescent="0.35">
      <c r="A59" t="s">
        <v>105</v>
      </c>
      <c r="B59" t="s">
        <v>87</v>
      </c>
      <c r="C59">
        <v>0.71430000000000005</v>
      </c>
      <c r="D59">
        <v>0.59760000000000002</v>
      </c>
      <c r="E59">
        <v>0.41860000000000003</v>
      </c>
      <c r="F59">
        <v>0.2056</v>
      </c>
      <c r="G59">
        <v>0.2056</v>
      </c>
    </row>
    <row r="60" spans="1:7" x14ac:dyDescent="0.35">
      <c r="A60" t="s">
        <v>60</v>
      </c>
      <c r="B60" t="s">
        <v>60</v>
      </c>
      <c r="C60">
        <v>1</v>
      </c>
      <c r="D60">
        <v>1</v>
      </c>
      <c r="E60">
        <v>1</v>
      </c>
      <c r="F60">
        <v>1</v>
      </c>
      <c r="G60">
        <v>1</v>
      </c>
    </row>
    <row r="61" spans="1:7" x14ac:dyDescent="0.35">
      <c r="A61" t="s">
        <v>106</v>
      </c>
      <c r="B61" t="s">
        <v>107</v>
      </c>
      <c r="C61">
        <v>0.50539999999999996</v>
      </c>
      <c r="D61">
        <v>0.49519999999999997</v>
      </c>
      <c r="E61">
        <v>0.48249999999999998</v>
      </c>
      <c r="F61">
        <v>0.46089999999999998</v>
      </c>
      <c r="G61">
        <v>0.46089999999999998</v>
      </c>
    </row>
    <row r="62" spans="1:7" x14ac:dyDescent="0.35">
      <c r="A62" t="s">
        <v>108</v>
      </c>
      <c r="B62" t="s">
        <v>54</v>
      </c>
      <c r="C62">
        <v>0.71430000000000005</v>
      </c>
      <c r="D62">
        <v>0.48799999999999999</v>
      </c>
      <c r="E62">
        <v>0.17130000000000001</v>
      </c>
      <c r="F62">
        <v>0.1045</v>
      </c>
      <c r="G62">
        <v>0.1045</v>
      </c>
    </row>
    <row r="63" spans="1:7" x14ac:dyDescent="0.35">
      <c r="A63" t="s">
        <v>109</v>
      </c>
      <c r="B63" t="s">
        <v>82</v>
      </c>
      <c r="C63">
        <v>0.625</v>
      </c>
      <c r="D63">
        <v>0.59760000000000002</v>
      </c>
      <c r="E63">
        <v>0.56640000000000001</v>
      </c>
      <c r="F63">
        <v>0.43469999999999998</v>
      </c>
      <c r="G63">
        <v>0.43469999999999998</v>
      </c>
    </row>
    <row r="64" spans="1:7" x14ac:dyDescent="0.35">
      <c r="A64" t="s">
        <v>60</v>
      </c>
      <c r="B64" t="s">
        <v>60</v>
      </c>
      <c r="C64">
        <v>1</v>
      </c>
      <c r="D64">
        <v>1</v>
      </c>
      <c r="E64">
        <v>1</v>
      </c>
      <c r="F64">
        <v>1</v>
      </c>
      <c r="G64">
        <v>1</v>
      </c>
    </row>
    <row r="65" spans="1:7" x14ac:dyDescent="0.35">
      <c r="A65" t="s">
        <v>110</v>
      </c>
      <c r="B65" t="s">
        <v>27</v>
      </c>
      <c r="C65">
        <v>0.69230000000000003</v>
      </c>
      <c r="D65">
        <v>0.6794</v>
      </c>
      <c r="E65">
        <v>0.59730000000000005</v>
      </c>
      <c r="F65">
        <v>0.4526</v>
      </c>
      <c r="G65">
        <v>0.4526</v>
      </c>
    </row>
    <row r="66" spans="1:7" x14ac:dyDescent="0.35">
      <c r="A66" t="s">
        <v>111</v>
      </c>
      <c r="B66" t="s">
        <v>112</v>
      </c>
      <c r="C66">
        <v>0.72389999999999999</v>
      </c>
      <c r="D66">
        <v>0.66080000000000005</v>
      </c>
      <c r="E66">
        <v>0.53200000000000003</v>
      </c>
      <c r="F66">
        <v>0.44240000000000002</v>
      </c>
      <c r="G66">
        <v>0.44240000000000002</v>
      </c>
    </row>
    <row r="67" spans="1:7" x14ac:dyDescent="0.35">
      <c r="A67" t="s">
        <v>113</v>
      </c>
      <c r="B67" t="s">
        <v>79</v>
      </c>
      <c r="C67">
        <v>0.85709999999999997</v>
      </c>
      <c r="D67">
        <v>0.75590000000000002</v>
      </c>
      <c r="E67">
        <v>0.61439999999999995</v>
      </c>
      <c r="F67">
        <v>0.4889</v>
      </c>
      <c r="G67">
        <v>0.4889</v>
      </c>
    </row>
    <row r="68" spans="1:7" x14ac:dyDescent="0.35">
      <c r="A68" t="s">
        <v>114</v>
      </c>
      <c r="B68" t="s">
        <v>58</v>
      </c>
      <c r="C68">
        <v>0.63690000000000002</v>
      </c>
      <c r="D68">
        <v>0.63190000000000002</v>
      </c>
      <c r="E68">
        <v>0.62680000000000002</v>
      </c>
      <c r="F68">
        <v>0.58499999999999996</v>
      </c>
      <c r="G68">
        <v>0.58499999999999996</v>
      </c>
    </row>
    <row r="69" spans="1:7" x14ac:dyDescent="0.35">
      <c r="A69" t="s">
        <v>115</v>
      </c>
      <c r="B69" t="s">
        <v>22</v>
      </c>
      <c r="C69">
        <v>0.55559999999999998</v>
      </c>
      <c r="D69">
        <v>0.4783</v>
      </c>
      <c r="E69">
        <v>0.38900000000000001</v>
      </c>
      <c r="F69">
        <v>0.29549999999999998</v>
      </c>
      <c r="G69">
        <v>0.29549999999999998</v>
      </c>
    </row>
    <row r="70" spans="1:7" x14ac:dyDescent="0.35">
      <c r="A70" t="s">
        <v>116</v>
      </c>
      <c r="B70" t="s">
        <v>107</v>
      </c>
      <c r="C70">
        <v>0.77780000000000005</v>
      </c>
      <c r="D70">
        <v>0.69720000000000004</v>
      </c>
      <c r="E70">
        <v>0.59589999999999999</v>
      </c>
      <c r="F70">
        <v>0.51329999999999998</v>
      </c>
      <c r="G70">
        <v>0.51329999999999998</v>
      </c>
    </row>
    <row r="71" spans="1:7" x14ac:dyDescent="0.35">
      <c r="A71" t="s">
        <v>117</v>
      </c>
      <c r="B71" t="s">
        <v>118</v>
      </c>
      <c r="C71">
        <v>0.64290000000000003</v>
      </c>
      <c r="D71">
        <v>0.58830000000000005</v>
      </c>
      <c r="E71">
        <v>0.52780000000000005</v>
      </c>
      <c r="F71">
        <v>0.44529999999999997</v>
      </c>
      <c r="G71">
        <v>0.44529999999999997</v>
      </c>
    </row>
    <row r="72" spans="1:7" x14ac:dyDescent="0.35">
      <c r="A72" t="s">
        <v>119</v>
      </c>
      <c r="B72" t="s">
        <v>120</v>
      </c>
      <c r="C72">
        <v>0.47060000000000002</v>
      </c>
      <c r="D72">
        <v>0.38350000000000001</v>
      </c>
      <c r="E72">
        <v>0.31230000000000002</v>
      </c>
      <c r="F72">
        <v>0.25459999999999999</v>
      </c>
      <c r="G72">
        <v>0.25459999999999999</v>
      </c>
    </row>
    <row r="73" spans="1:7" x14ac:dyDescent="0.35">
      <c r="A73" t="s">
        <v>121</v>
      </c>
      <c r="B73" t="s">
        <v>122</v>
      </c>
      <c r="C73">
        <v>0.90910000000000002</v>
      </c>
      <c r="D73">
        <v>0.8528</v>
      </c>
      <c r="E73">
        <v>0.78749999999999998</v>
      </c>
      <c r="F73">
        <v>0.7419</v>
      </c>
      <c r="G73">
        <v>0.7419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0CEF-80B8-40DD-BC51-92A8C0AEA619}">
  <dimension ref="A1:E6"/>
  <sheetViews>
    <sheetView tabSelected="1" workbookViewId="0">
      <selection activeCell="B2" sqref="B2:E5"/>
    </sheetView>
  </sheetViews>
  <sheetFormatPr defaultRowHeight="14.5" x14ac:dyDescent="0.35"/>
  <cols>
    <col min="1" max="1" width="12.90625" customWidth="1"/>
  </cols>
  <sheetData>
    <row r="1" spans="1:5" x14ac:dyDescent="0.35">
      <c r="B1" t="s">
        <v>123</v>
      </c>
      <c r="C1" t="s">
        <v>124</v>
      </c>
      <c r="D1" t="s">
        <v>125</v>
      </c>
      <c r="E1" t="s">
        <v>126</v>
      </c>
    </row>
    <row r="2" spans="1:5" x14ac:dyDescent="0.35">
      <c r="A2" t="s">
        <v>2</v>
      </c>
      <c r="B2" s="2">
        <f>AVERAGE(Sheet1!C2:C73)</f>
        <v>0.7182291666666667</v>
      </c>
      <c r="C2" s="2">
        <f>MEDIAN(Sheet1!C2:C73)</f>
        <v>0.69599999999999995</v>
      </c>
      <c r="D2" s="2">
        <f>MIN(Sheet1!C2:C73)</f>
        <v>0.4375</v>
      </c>
      <c r="E2" s="2">
        <f>MAX(Sheet1!C2:C73)</f>
        <v>1</v>
      </c>
    </row>
    <row r="3" spans="1:5" x14ac:dyDescent="0.35">
      <c r="A3" t="s">
        <v>3</v>
      </c>
      <c r="B3" s="2">
        <f>AVERAGE(Sheet1!D2:D73)</f>
        <v>0.65197083333333317</v>
      </c>
      <c r="C3" s="2">
        <f>MEDIAN(Sheet1!D2:D73)</f>
        <v>0.61060000000000003</v>
      </c>
      <c r="D3" s="2">
        <f>MIN(Sheet1!D2:D73)</f>
        <v>0.38350000000000001</v>
      </c>
      <c r="E3" s="2">
        <f>MAX(Sheet1!D2:D73)</f>
        <v>1</v>
      </c>
    </row>
    <row r="4" spans="1:5" x14ac:dyDescent="0.35">
      <c r="A4" t="s">
        <v>4</v>
      </c>
      <c r="B4" s="2">
        <f>AVERAGE(Sheet1!E2:E73)</f>
        <v>0.57544444444444454</v>
      </c>
      <c r="C4" s="2">
        <f>MEDIAN(Sheet1!E2:E73)</f>
        <v>0.52700000000000002</v>
      </c>
      <c r="D4" s="2">
        <f>MIN(Sheet1!E2:E73)</f>
        <v>0.17130000000000001</v>
      </c>
      <c r="E4" s="2">
        <f>MAX(Sheet1!E2:E73)</f>
        <v>1</v>
      </c>
    </row>
    <row r="5" spans="1:5" x14ac:dyDescent="0.35">
      <c r="A5" t="s">
        <v>5</v>
      </c>
      <c r="B5" s="2">
        <f>AVERAGE(Sheet1!F2:F73)</f>
        <v>0.49884027777777779</v>
      </c>
      <c r="C5" s="2">
        <f>MEDIAN(Sheet1!F2:F73)</f>
        <v>0.44384999999999997</v>
      </c>
      <c r="D5" s="2">
        <f>MIN(Sheet1!F2:F73)</f>
        <v>0.1045</v>
      </c>
      <c r="E5" s="2">
        <f>MAX(Sheet1!F5:F73)</f>
        <v>1</v>
      </c>
    </row>
    <row r="6" spans="1:5" x14ac:dyDescent="0.35">
      <c r="A6" t="s">
        <v>127</v>
      </c>
      <c r="B6" s="2">
        <f>AVERAGE(Sheet1!G2:G73)</f>
        <v>0.49884027777777779</v>
      </c>
      <c r="C6" s="2">
        <f>MEDIAN(Sheet1!G2:G73)</f>
        <v>0.44384999999999997</v>
      </c>
      <c r="D6" s="2">
        <f>MIN(Sheet1!G2:G73)</f>
        <v>0.1045</v>
      </c>
      <c r="E6" s="2">
        <f>MAX(Sheet1!G2:G73)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Van Der Berg</cp:lastModifiedBy>
  <dcterms:created xsi:type="dcterms:W3CDTF">2025-08-28T13:02:44Z</dcterms:created>
  <dcterms:modified xsi:type="dcterms:W3CDTF">2025-08-28T14:06:25Z</dcterms:modified>
</cp:coreProperties>
</file>